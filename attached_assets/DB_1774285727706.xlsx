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ebyeongwook/Downloads/"/>
    </mc:Choice>
  </mc:AlternateContent>
  <xr:revisionPtr revIDLastSave="0" documentId="8_{673BEA5D-1C64-244F-A527-30841443539F}" xr6:coauthVersionLast="47" xr6:coauthVersionMax="47" xr10:uidLastSave="{00000000-0000-0000-0000-000000000000}"/>
  <bookViews>
    <workbookView xWindow="55500" yWindow="680" windowWidth="17100" windowHeight="21460" xr2:uid="{50BF2864-759E-49D7-BFE9-BD5397ACDA4D}"/>
  </bookViews>
  <sheets>
    <sheet name="내수" sheetId="6" r:id="rId1"/>
  </sheets>
  <definedNames>
    <definedName name="_xlnm._FilterDatabase" localSheetId="0" hidden="1">내수!$A$1:$I$111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6" l="1"/>
  <c r="G2" i="6"/>
  <c r="H2" i="6" s="1"/>
  <c r="E3" i="6"/>
  <c r="E111" i="6" s="1"/>
  <c r="H3" i="6"/>
  <c r="E4" i="6"/>
  <c r="H4" i="6"/>
  <c r="E5" i="6"/>
  <c r="H5" i="6"/>
  <c r="E6" i="6"/>
  <c r="H6" i="6"/>
  <c r="E7" i="6"/>
  <c r="H7" i="6"/>
  <c r="E8" i="6"/>
  <c r="H8" i="6"/>
  <c r="E9" i="6"/>
  <c r="H9" i="6"/>
  <c r="E10" i="6"/>
  <c r="H10" i="6"/>
  <c r="E11" i="6"/>
  <c r="H11" i="6"/>
  <c r="E12" i="6"/>
  <c r="H12" i="6"/>
  <c r="E13" i="6"/>
  <c r="H13" i="6"/>
  <c r="E14" i="6"/>
  <c r="H14" i="6"/>
  <c r="E15" i="6"/>
  <c r="H15" i="6"/>
  <c r="E16" i="6"/>
  <c r="H16" i="6"/>
  <c r="E17" i="6"/>
  <c r="H17" i="6"/>
  <c r="E18" i="6"/>
  <c r="H18" i="6"/>
  <c r="E19" i="6"/>
  <c r="H19" i="6"/>
  <c r="E20" i="6"/>
  <c r="H20" i="6"/>
  <c r="E21" i="6"/>
  <c r="H21" i="6"/>
  <c r="E22" i="6"/>
  <c r="H22" i="6"/>
  <c r="E23" i="6"/>
  <c r="H23" i="6"/>
  <c r="E24" i="6"/>
  <c r="H24" i="6"/>
  <c r="E25" i="6"/>
  <c r="H25" i="6"/>
  <c r="E26" i="6"/>
  <c r="H26" i="6"/>
  <c r="E27" i="6"/>
  <c r="H27" i="6"/>
  <c r="E28" i="6"/>
  <c r="H28" i="6"/>
  <c r="E29" i="6"/>
  <c r="H29" i="6"/>
  <c r="E30" i="6"/>
  <c r="H30" i="6"/>
  <c r="H31" i="6"/>
  <c r="G32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G58" i="6"/>
  <c r="H58" i="6" s="1"/>
  <c r="H59" i="6"/>
  <c r="H60" i="6"/>
  <c r="H61" i="6"/>
  <c r="H62" i="6"/>
  <c r="H63" i="6"/>
  <c r="H64" i="6"/>
  <c r="H65" i="6"/>
  <c r="H66" i="6"/>
  <c r="H67" i="6"/>
  <c r="H68" i="6"/>
  <c r="H69" i="6"/>
  <c r="G70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G93" i="6"/>
  <c r="H93" i="6"/>
  <c r="H94" i="6"/>
  <c r="H95" i="6"/>
  <c r="H96" i="6"/>
  <c r="H97" i="6"/>
  <c r="H98" i="6"/>
  <c r="G99" i="6"/>
  <c r="H99" i="6"/>
  <c r="H100" i="6"/>
  <c r="H101" i="6"/>
  <c r="H102" i="6"/>
  <c r="H103" i="6"/>
  <c r="H104" i="6"/>
  <c r="H105" i="6"/>
  <c r="H106" i="6"/>
  <c r="H107" i="6"/>
  <c r="G108" i="6"/>
  <c r="H108" i="6" s="1"/>
  <c r="G109" i="6"/>
  <c r="H109" i="6" s="1"/>
  <c r="H110" i="6"/>
  <c r="H111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SAMSUNG3</author>
  </authors>
  <commentList>
    <comment ref="A1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SAMSUNG3: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>한영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업체내부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재재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관리코드</t>
        </r>
      </text>
    </comment>
    <comment ref="A2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SAMSUNG3: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>한영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업체내부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자재코드</t>
        </r>
      </text>
    </comment>
    <comment ref="I2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>SAMSUNG3: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>임승보</t>
        </r>
        <r>
          <rPr>
            <sz val="9"/>
            <color rgb="FF000000"/>
            <rFont val="Tahoma"/>
            <family val="2"/>
          </rPr>
          <t>-</t>
        </r>
        <r>
          <rPr>
            <sz val="9"/>
            <color rgb="FF000000"/>
            <rFont val="돋움"/>
            <family val="2"/>
            <charset val="129"/>
          </rPr>
          <t>해외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소싱건</t>
        </r>
        <r>
          <rPr>
            <sz val="9"/>
            <color rgb="FF000000"/>
            <rFont val="돋움"/>
            <family val="2"/>
            <charset val="129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>나머지는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국내</t>
        </r>
        <r>
          <rPr>
            <sz val="9"/>
            <color rgb="FF000000"/>
            <rFont val="Tahoma"/>
            <family val="2"/>
          </rPr>
          <t>,</t>
        </r>
        <r>
          <rPr>
            <sz val="9"/>
            <color rgb="FF000000"/>
            <rFont val="돋움"/>
            <family val="2"/>
            <charset val="129"/>
          </rPr>
          <t>상가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업체이름</t>
        </r>
      </text>
    </comment>
  </commentList>
</comments>
</file>

<file path=xl/sharedStrings.xml><?xml version="1.0" encoding="utf-8"?>
<sst xmlns="http://schemas.openxmlformats.org/spreadsheetml/2006/main" count="335" uniqueCount="188">
  <si>
    <t>품명</t>
    <phoneticPr fontId="2" type="noConversion"/>
  </si>
  <si>
    <t>구매처</t>
    <phoneticPr fontId="2" type="noConversion"/>
  </si>
  <si>
    <t>BAV199LT1G</t>
  </si>
  <si>
    <t>BL-B5141Q-S-TBS21.5C</t>
  </si>
  <si>
    <t>임승보차장</t>
    <phoneticPr fontId="2" type="noConversion"/>
  </si>
  <si>
    <t>알테크</t>
    <phoneticPr fontId="2" type="noConversion"/>
  </si>
  <si>
    <t>LB10SA</t>
  </si>
  <si>
    <t>맥스몬상사</t>
    <phoneticPr fontId="2" type="noConversion"/>
  </si>
  <si>
    <t>유앤아이</t>
    <phoneticPr fontId="2" type="noConversion"/>
  </si>
  <si>
    <t>재고</t>
    <phoneticPr fontId="2" type="noConversion"/>
  </si>
  <si>
    <t>LB10SA</t>
    <phoneticPr fontId="2" type="noConversion"/>
  </si>
  <si>
    <t>BL-B5141Q-S-TBS21.5C</t>
    <phoneticPr fontId="2" type="noConversion"/>
  </si>
  <si>
    <t>BAV199LT1G</t>
    <phoneticPr fontId="2" type="noConversion"/>
  </si>
  <si>
    <t>MCD000047S000</t>
  </si>
  <si>
    <t>S1ZB60</t>
  </si>
  <si>
    <t>MCD000058S000</t>
  </si>
  <si>
    <t>MCD000156S000</t>
  </si>
  <si>
    <t>LL4148</t>
  </si>
  <si>
    <t>MCM000020S000</t>
  </si>
  <si>
    <t>AT93C66A-10SU-2.7V(AT93C66B-SSHM-T)</t>
  </si>
  <si>
    <t>MCO000028S000</t>
  </si>
  <si>
    <t>EL357N-C-TA-G</t>
  </si>
  <si>
    <t>MCD000205S000</t>
  </si>
  <si>
    <t>S1NB60-7062 CHIP</t>
  </si>
  <si>
    <t>MCO000029S000</t>
  </si>
  <si>
    <t>TLP185SE-GB</t>
  </si>
  <si>
    <t>MCD000142S000</t>
  </si>
  <si>
    <t>MMSZ5242B(12V)</t>
  </si>
  <si>
    <t>MCI000038S000</t>
  </si>
  <si>
    <t>BLM18BB220SN1</t>
  </si>
  <si>
    <t>MCD000042S000</t>
  </si>
  <si>
    <t>SMFB16</t>
  </si>
  <si>
    <t>MCA000471S000</t>
  </si>
  <si>
    <t>S3C6410X66-YB40</t>
  </si>
  <si>
    <t>MCA000238S000</t>
  </si>
  <si>
    <t>LP2985-33DBVR</t>
  </si>
  <si>
    <t>MCA000511S000</t>
  </si>
  <si>
    <t>MC14584BDR2</t>
  </si>
  <si>
    <t>MCD000146S000</t>
  </si>
  <si>
    <t>MMSZ5251B (22V), BZT52C22</t>
  </si>
  <si>
    <t>MCL000044S000</t>
  </si>
  <si>
    <t>19-217/R6C-P1Q2/3T</t>
  </si>
  <si>
    <t>MDL000140S000</t>
  </si>
  <si>
    <t>MDS000013S000</t>
  </si>
  <si>
    <t>MS2245</t>
  </si>
  <si>
    <t>MCC000229S000</t>
  </si>
  <si>
    <t>GRM55DR73A104K</t>
  </si>
  <si>
    <t>MCD000009S000</t>
  </si>
  <si>
    <t>MMSZ5245B(15V), BZT52C15</t>
  </si>
  <si>
    <t>MCD000120S000</t>
  </si>
  <si>
    <t>S1M</t>
  </si>
  <si>
    <t>MCD000122S000</t>
  </si>
  <si>
    <t>ZMM55C5V6</t>
  </si>
  <si>
    <t>MCL011002S000</t>
  </si>
  <si>
    <t>WCN-0603HR-0E</t>
  </si>
  <si>
    <t>MCO000046S000</t>
  </si>
  <si>
    <t>TLP291-1-GB</t>
  </si>
  <si>
    <t>MDC000297S000</t>
  </si>
  <si>
    <t>MONO 104 50V</t>
  </si>
  <si>
    <t>MCD000150S000</t>
  </si>
  <si>
    <t>1SS355</t>
  </si>
  <si>
    <t>MCS000026S000</t>
  </si>
  <si>
    <t>MS2245S(DHS2245SA)</t>
  </si>
  <si>
    <t>MCA000408S000</t>
  </si>
  <si>
    <t>CD74HC4316PWR</t>
  </si>
  <si>
    <t>MPD000182S000</t>
  </si>
  <si>
    <t>MCO000002S000</t>
  </si>
  <si>
    <t>MCD000111S000</t>
  </si>
  <si>
    <t>D1FL20U</t>
  </si>
  <si>
    <t>MDL000177S000</t>
  </si>
  <si>
    <t>MCD000066S000</t>
  </si>
  <si>
    <t>BAV21W</t>
  </si>
  <si>
    <t>MCT000057S000</t>
  </si>
  <si>
    <t>FDN86246</t>
  </si>
  <si>
    <t>MCD000197S000</t>
  </si>
  <si>
    <t>SMBJ30A</t>
  </si>
  <si>
    <t>MCA000491S000</t>
  </si>
  <si>
    <t>MCT000020S000</t>
  </si>
  <si>
    <t>BSS84</t>
  </si>
  <si>
    <t>MCA000556S000</t>
  </si>
  <si>
    <t>74HC00D</t>
  </si>
  <si>
    <t>MCC000361S000</t>
  </si>
  <si>
    <t>GRT31CR61H106KE01 (GRT42X5R106K50V)</t>
  </si>
  <si>
    <t>MCD000174S000</t>
  </si>
  <si>
    <t>MMSZ5257B(33V)</t>
  </si>
  <si>
    <t>MDI000126S000</t>
  </si>
  <si>
    <t>LPL0813T102K(BULK)</t>
  </si>
  <si>
    <t>MDL000119S000</t>
  </si>
  <si>
    <t>MCA000415S000</t>
  </si>
  <si>
    <t>TMP1075DSGR</t>
  </si>
  <si>
    <t>MCD000104S000</t>
  </si>
  <si>
    <t>MCL000018S000</t>
  </si>
  <si>
    <t>MCT000058S000</t>
  </si>
  <si>
    <t>BC817-40W</t>
  </si>
  <si>
    <t>MCT000059S000</t>
  </si>
  <si>
    <t>2SCR513R</t>
  </si>
  <si>
    <t>MCT000071S000</t>
  </si>
  <si>
    <t>MDD000004S000</t>
  </si>
  <si>
    <t>MCI000120S000</t>
  </si>
  <si>
    <t>EFSD3040042TS</t>
  </si>
  <si>
    <t>MCA011018S000</t>
  </si>
  <si>
    <t>SN74AHC1G02DBVR</t>
  </si>
  <si>
    <t>MCA000006S000</t>
  </si>
  <si>
    <t>RC4558IDR</t>
  </si>
  <si>
    <t>MDN000323S000</t>
  </si>
  <si>
    <t>MPV000001S000</t>
  </si>
  <si>
    <t>DRL-0900300(DC9V,300mA)</t>
  </si>
  <si>
    <t>MCA000492S000</t>
  </si>
  <si>
    <t>MCA000587S000</t>
  </si>
  <si>
    <t>MCI000072S000</t>
  </si>
  <si>
    <t>MCI000100S000</t>
  </si>
  <si>
    <t>BLM21PG221SN1D</t>
  </si>
  <si>
    <t>MCI000161S000</t>
  </si>
  <si>
    <t>BLM18PG181SN1D</t>
  </si>
  <si>
    <t>MDR000487S000</t>
  </si>
  <si>
    <t>MDR001004S000</t>
  </si>
  <si>
    <t>JUMPER WIRE</t>
  </si>
  <si>
    <t>MCA000455S000</t>
  </si>
  <si>
    <t>MCD000021S000</t>
  </si>
  <si>
    <t>MMSZ5258B(36V)</t>
  </si>
  <si>
    <t>MPD000242S000</t>
  </si>
  <si>
    <t>BR-762O2-20P</t>
  </si>
  <si>
    <t>MCL000064S000</t>
  </si>
  <si>
    <t>제이에이치일렉</t>
    <phoneticPr fontId="2" type="noConversion"/>
  </si>
  <si>
    <t>BR-762O2-28P</t>
    <phoneticPr fontId="2" type="noConversion"/>
  </si>
  <si>
    <t>MPD000124S000</t>
    <phoneticPr fontId="2" type="noConversion"/>
  </si>
  <si>
    <t>임승보차장(해외)</t>
    <phoneticPr fontId="2" type="noConversion"/>
  </si>
  <si>
    <t>SFH4056</t>
    <phoneticPr fontId="2" type="noConversion"/>
  </si>
  <si>
    <t>EL357N-C-TA-G</t>
    <phoneticPr fontId="2" type="noConversion"/>
  </si>
  <si>
    <t>와이즈테크</t>
    <phoneticPr fontId="2" type="noConversion"/>
  </si>
  <si>
    <t>WCN-0603HR-0E</t>
    <phoneticPr fontId="2" type="noConversion"/>
  </si>
  <si>
    <t>다이오테크케이디</t>
    <phoneticPr fontId="2" type="noConversion"/>
  </si>
  <si>
    <t>S1M</t>
    <phoneticPr fontId="2" type="noConversion"/>
  </si>
  <si>
    <t>MCD000120S000</t>
    <phoneticPr fontId="2" type="noConversion"/>
  </si>
  <si>
    <t>대산전자</t>
    <phoneticPr fontId="2" type="noConversion"/>
  </si>
  <si>
    <t>MMSZ5245B(15V), BZT52C15</t>
    <phoneticPr fontId="2" type="noConversion"/>
  </si>
  <si>
    <t>MCD000009S000</t>
    <phoneticPr fontId="2" type="noConversion"/>
  </si>
  <si>
    <t>빌리스테크</t>
    <phoneticPr fontId="2" type="noConversion"/>
  </si>
  <si>
    <t>GRM55DR73A104K</t>
    <phoneticPr fontId="2" type="noConversion"/>
  </si>
  <si>
    <t>BL-B5141Q</t>
    <phoneticPr fontId="2" type="noConversion"/>
  </si>
  <si>
    <t>MDL000140S000</t>
    <phoneticPr fontId="2" type="noConversion"/>
  </si>
  <si>
    <t>서광전자</t>
    <phoneticPr fontId="2" type="noConversion"/>
  </si>
  <si>
    <t>LPL0813T102K(BULK)</t>
    <phoneticPr fontId="2" type="noConversion"/>
  </si>
  <si>
    <t>MDI000126S000</t>
    <phoneticPr fontId="2" type="noConversion"/>
  </si>
  <si>
    <t>TLP291-1-GB</t>
    <phoneticPr fontId="2" type="noConversion"/>
  </si>
  <si>
    <t>MCO000046S000</t>
    <phoneticPr fontId="2" type="noConversion"/>
  </si>
  <si>
    <t>천일통상</t>
    <phoneticPr fontId="2" type="noConversion"/>
  </si>
  <si>
    <t>LL4148</t>
    <phoneticPr fontId="2" type="noConversion"/>
  </si>
  <si>
    <t>S1ZB60</t>
    <phoneticPr fontId="2" type="noConversion"/>
  </si>
  <si>
    <t>담아</t>
    <phoneticPr fontId="2" type="noConversion"/>
  </si>
  <si>
    <t>휴먼텍</t>
    <phoneticPr fontId="2" type="noConversion"/>
  </si>
  <si>
    <t>부여전자</t>
    <phoneticPr fontId="2" type="noConversion"/>
  </si>
  <si>
    <t>2EDGK-5.0-05P-14-00AH</t>
    <phoneticPr fontId="2" type="noConversion"/>
  </si>
  <si>
    <t>이엔테크</t>
    <phoneticPr fontId="2" type="noConversion"/>
  </si>
  <si>
    <t>AK100/3DS-5.0-V(BLUE)</t>
    <phoneticPr fontId="2" type="noConversion"/>
  </si>
  <si>
    <t>맥스몬</t>
    <phoneticPr fontId="2" type="noConversion"/>
  </si>
  <si>
    <t>경진스위치</t>
    <phoneticPr fontId="2" type="noConversion"/>
  </si>
  <si>
    <t>에스파츠</t>
    <phoneticPr fontId="2" type="noConversion"/>
  </si>
  <si>
    <t>빌리스</t>
    <phoneticPr fontId="2" type="noConversion"/>
  </si>
  <si>
    <t>S1NB60-7062 CHIP</t>
    <phoneticPr fontId="2" type="noConversion"/>
  </si>
  <si>
    <t>천일반도체</t>
    <phoneticPr fontId="2" type="noConversion"/>
  </si>
  <si>
    <t>D1FL20U</t>
    <phoneticPr fontId="2" type="noConversion"/>
  </si>
  <si>
    <t>다이오테크</t>
    <phoneticPr fontId="2" type="noConversion"/>
  </si>
  <si>
    <t>1N4148 52MM</t>
    <phoneticPr fontId="2" type="noConversion"/>
  </si>
  <si>
    <t>티일렉</t>
    <phoneticPr fontId="2" type="noConversion"/>
  </si>
  <si>
    <t>아이씨뱅큐</t>
    <phoneticPr fontId="2" type="noConversion"/>
  </si>
  <si>
    <t>MMBT5179 (KTC3121(VA))</t>
    <phoneticPr fontId="2" type="noConversion"/>
  </si>
  <si>
    <t>제이트로닉스</t>
    <phoneticPr fontId="2" type="noConversion"/>
  </si>
  <si>
    <t>LTV-356T-BN</t>
    <phoneticPr fontId="2" type="noConversion"/>
  </si>
  <si>
    <t>광세미</t>
    <phoneticPr fontId="2" type="noConversion"/>
  </si>
  <si>
    <t>LS-SP150DSG74-(N255/N244)</t>
    <phoneticPr fontId="2" type="noConversion"/>
  </si>
  <si>
    <t>STM32F101C6T6A (CV)</t>
    <phoneticPr fontId="2" type="noConversion"/>
  </si>
  <si>
    <t>아벨일렉콤</t>
    <phoneticPr fontId="2" type="noConversion"/>
  </si>
  <si>
    <t>제이텍</t>
    <phoneticPr fontId="2" type="noConversion"/>
  </si>
  <si>
    <t>JUMPER WIRE 0.6*10mm</t>
    <phoneticPr fontId="2" type="noConversion"/>
  </si>
  <si>
    <t>LL-304ZC2E-029(GREEN)</t>
    <phoneticPr fontId="2" type="noConversion"/>
  </si>
  <si>
    <t>이엘쓰리</t>
    <phoneticPr fontId="2" type="noConversion"/>
  </si>
  <si>
    <t>EMA5230S-3.3uH</t>
    <phoneticPr fontId="2" type="noConversion"/>
  </si>
  <si>
    <t>한승</t>
    <phoneticPr fontId="2" type="noConversion"/>
  </si>
  <si>
    <t>DS1302S+T&amp;R</t>
    <phoneticPr fontId="2" type="noConversion"/>
  </si>
  <si>
    <t>MIC811SU (RESET IC)</t>
    <phoneticPr fontId="2" type="noConversion"/>
  </si>
  <si>
    <t>영진</t>
    <phoneticPr fontId="2" type="noConversion"/>
  </si>
  <si>
    <t>KIA1117BS33(LD1117AG-33-AA3-A-R)</t>
    <phoneticPr fontId="2" type="noConversion"/>
  </si>
  <si>
    <t>합계</t>
    <phoneticPr fontId="2" type="noConversion"/>
  </si>
  <si>
    <t>원가</t>
    <phoneticPr fontId="2" type="noConversion"/>
  </si>
  <si>
    <t>납품가</t>
    <phoneticPr fontId="2" type="noConversion"/>
  </si>
  <si>
    <t>수량</t>
    <phoneticPr fontId="2" type="noConversion"/>
  </si>
  <si>
    <t>품목코드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</si>
</sst>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_-;_-@_-"/>
    <numFmt numFmtId="177" formatCode="_-* #,##0.0_-;\-* #,##0.0_-;_-* &quot;-&quot;_-;_-@_-"/>
    <numFmt numFmtId="178" formatCode="0.0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Tahoma"/>
      <family val="2"/>
    </font>
    <font>
      <sz val="9"/>
      <color rgb="FF000000"/>
      <name val="돋움"/>
      <family val="2"/>
      <charset val="129"/>
    </font>
    <font>
      <sz val="9"/>
      <color theme="1"/>
      <name val="맑은 고딕"/>
      <family val="3"/>
      <charset val="129"/>
      <scheme val="minor"/>
    </font>
    <font>
      <b/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5" fillId="2" borderId="0" xfId="0" applyFont="1" applyFill="1">
      <alignment vertical="center"/>
    </xf>
    <xf numFmtId="176" fontId="5" fillId="2" borderId="0" xfId="1" applyFont="1" applyFill="1">
      <alignment vertical="center"/>
    </xf>
    <xf numFmtId="177" fontId="5" fillId="2" borderId="0" xfId="1" applyNumberFormat="1" applyFont="1" applyFill="1">
      <alignment vertical="center"/>
    </xf>
    <xf numFmtId="178" fontId="5" fillId="2" borderId="0" xfId="0" applyNumberFormat="1" applyFont="1" applyFill="1">
      <alignment vertical="center"/>
    </xf>
    <xf numFmtId="176" fontId="5" fillId="2" borderId="1" xfId="1" applyFont="1" applyFill="1" applyBorder="1">
      <alignment vertical="center"/>
    </xf>
    <xf numFmtId="0" fontId="5" fillId="2" borderId="1" xfId="0" applyFont="1" applyFill="1" applyBorder="1">
      <alignment vertical="center"/>
    </xf>
    <xf numFmtId="177" fontId="5" fillId="2" borderId="2" xfId="1" applyNumberFormat="1" applyFont="1" applyFill="1" applyBorder="1">
      <alignment vertical="center"/>
    </xf>
    <xf numFmtId="178" fontId="5" fillId="2" borderId="1" xfId="0" applyNumberFormat="1" applyFont="1" applyFill="1" applyBorder="1">
      <alignment vertical="center"/>
    </xf>
    <xf numFmtId="177" fontId="5" fillId="2" borderId="1" xfId="1" applyNumberFormat="1" applyFont="1" applyFill="1" applyBorder="1">
      <alignment vertical="center"/>
    </xf>
    <xf numFmtId="178" fontId="5" fillId="2" borderId="3" xfId="0" applyNumberFormat="1" applyFont="1" applyFill="1" applyBorder="1">
      <alignment vertical="center"/>
    </xf>
    <xf numFmtId="176" fontId="5" fillId="2" borderId="3" xfId="1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1" applyFont="1" applyFill="1" applyBorder="1" applyAlignment="1">
      <alignment horizontal="center" vertical="center"/>
    </xf>
    <xf numFmtId="177" fontId="5" fillId="2" borderId="1" xfId="1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8B93-0C79-1C40-A09F-09C89A9C153D}">
  <dimension ref="A1:J111"/>
  <sheetViews>
    <sheetView tabSelected="1" workbookViewId="0">
      <selection activeCell="B21" sqref="B21"/>
    </sheetView>
  </sheetViews>
  <sheetFormatPr baseColWidth="10" defaultColWidth="8.83203125" defaultRowHeight="14"/>
  <cols>
    <col min="1" max="1" width="16.6640625" style="1" bestFit="1" customWidth="1"/>
    <col min="2" max="2" width="40.83203125" style="1" bestFit="1" customWidth="1"/>
    <col min="3" max="3" width="8.83203125" style="2"/>
    <col min="4" max="4" width="8.83203125" style="4"/>
    <col min="5" max="5" width="11.83203125" style="2" bestFit="1" customWidth="1"/>
    <col min="6" max="6" width="8.83203125" style="1"/>
    <col min="7" max="7" width="9.6640625" style="3" bestFit="1" customWidth="1"/>
    <col min="8" max="8" width="13.5" style="2" bestFit="1" customWidth="1"/>
    <col min="9" max="9" width="14.33203125" style="1" bestFit="1" customWidth="1"/>
    <col min="10" max="10" width="13" style="1" bestFit="1" customWidth="1"/>
    <col min="11" max="16384" width="8.83203125" style="1"/>
  </cols>
  <sheetData>
    <row r="1" spans="1:9">
      <c r="A1" s="13" t="s">
        <v>187</v>
      </c>
      <c r="B1" s="13" t="s">
        <v>0</v>
      </c>
      <c r="C1" s="14" t="s">
        <v>186</v>
      </c>
      <c r="D1" s="17" t="s">
        <v>185</v>
      </c>
      <c r="E1" s="14" t="s">
        <v>183</v>
      </c>
      <c r="F1" s="16"/>
      <c r="G1" s="15" t="s">
        <v>184</v>
      </c>
      <c r="H1" s="14" t="s">
        <v>183</v>
      </c>
      <c r="I1" s="13" t="s">
        <v>1</v>
      </c>
    </row>
    <row r="2" spans="1:9">
      <c r="A2" s="6" t="s">
        <v>32</v>
      </c>
      <c r="B2" s="6" t="s">
        <v>33</v>
      </c>
      <c r="C2" s="5">
        <v>500</v>
      </c>
      <c r="D2" s="8">
        <v>32900</v>
      </c>
      <c r="E2" s="5">
        <f>C2*D2</f>
        <v>16450000</v>
      </c>
      <c r="G2" s="9">
        <f>15.2*1.03*1500</f>
        <v>23484</v>
      </c>
      <c r="H2" s="5">
        <f>C2*G2</f>
        <v>11742000</v>
      </c>
      <c r="I2" s="6" t="s">
        <v>4</v>
      </c>
    </row>
    <row r="3" spans="1:9">
      <c r="A3" s="6" t="s">
        <v>76</v>
      </c>
      <c r="B3" s="6" t="s">
        <v>182</v>
      </c>
      <c r="C3" s="5">
        <v>2500</v>
      </c>
      <c r="D3" s="8">
        <v>120</v>
      </c>
      <c r="E3" s="5">
        <f>C3*D3</f>
        <v>300000</v>
      </c>
      <c r="G3" s="9">
        <v>42</v>
      </c>
      <c r="H3" s="5">
        <f>C3*G3</f>
        <v>105000</v>
      </c>
      <c r="I3" s="6" t="s">
        <v>181</v>
      </c>
    </row>
    <row r="4" spans="1:9">
      <c r="A4" s="6" t="s">
        <v>107</v>
      </c>
      <c r="B4" s="6" t="s">
        <v>180</v>
      </c>
      <c r="C4" s="5">
        <v>3000</v>
      </c>
      <c r="D4" s="8">
        <v>470</v>
      </c>
      <c r="E4" s="5">
        <f>C4*D4</f>
        <v>1410000</v>
      </c>
      <c r="G4" s="9">
        <v>446</v>
      </c>
      <c r="H4" s="5">
        <f>C4*G4</f>
        <v>1338000</v>
      </c>
      <c r="I4" s="6" t="s">
        <v>4</v>
      </c>
    </row>
    <row r="5" spans="1:9">
      <c r="A5" s="6" t="s">
        <v>108</v>
      </c>
      <c r="B5" s="6" t="s">
        <v>179</v>
      </c>
      <c r="C5" s="5">
        <v>1000</v>
      </c>
      <c r="D5" s="8">
        <v>1120</v>
      </c>
      <c r="E5" s="5">
        <f>C5*D5</f>
        <v>1120000</v>
      </c>
      <c r="G5" s="9">
        <v>1052</v>
      </c>
      <c r="H5" s="5">
        <f>C5*G5</f>
        <v>1052000</v>
      </c>
      <c r="I5" s="6" t="s">
        <v>4</v>
      </c>
    </row>
    <row r="6" spans="1:9">
      <c r="A6" s="6" t="s">
        <v>47</v>
      </c>
      <c r="B6" s="6" t="s">
        <v>48</v>
      </c>
      <c r="C6" s="5">
        <v>3000</v>
      </c>
      <c r="D6" s="8">
        <v>24</v>
      </c>
      <c r="E6" s="5">
        <f>C6*D6</f>
        <v>72000</v>
      </c>
      <c r="G6" s="9">
        <v>10</v>
      </c>
      <c r="H6" s="5">
        <f>C6*G6</f>
        <v>30000</v>
      </c>
      <c r="I6" s="6" t="s">
        <v>134</v>
      </c>
    </row>
    <row r="7" spans="1:9">
      <c r="A7" s="6" t="s">
        <v>30</v>
      </c>
      <c r="B7" s="6" t="s">
        <v>31</v>
      </c>
      <c r="C7" s="5">
        <v>3000</v>
      </c>
      <c r="D7" s="8">
        <v>83</v>
      </c>
      <c r="E7" s="5">
        <f>C7*D7</f>
        <v>249000</v>
      </c>
      <c r="G7" s="9">
        <v>65.5</v>
      </c>
      <c r="H7" s="5">
        <f>C7*G7</f>
        <v>196500</v>
      </c>
      <c r="I7" s="6" t="s">
        <v>178</v>
      </c>
    </row>
    <row r="8" spans="1:9">
      <c r="A8" s="6" t="s">
        <v>70</v>
      </c>
      <c r="B8" s="6" t="s">
        <v>71</v>
      </c>
      <c r="C8" s="5">
        <v>3000</v>
      </c>
      <c r="D8" s="8">
        <v>23</v>
      </c>
      <c r="E8" s="5">
        <f>C8*D8</f>
        <v>69000</v>
      </c>
      <c r="G8" s="9">
        <v>18</v>
      </c>
      <c r="H8" s="5">
        <f>C8*G8</f>
        <v>54000</v>
      </c>
      <c r="I8" s="6" t="s">
        <v>162</v>
      </c>
    </row>
    <row r="9" spans="1:9">
      <c r="A9" s="6" t="s">
        <v>67</v>
      </c>
      <c r="B9" s="6" t="s">
        <v>68</v>
      </c>
      <c r="C9" s="5">
        <v>2000</v>
      </c>
      <c r="D9" s="8">
        <v>103</v>
      </c>
      <c r="E9" s="5">
        <f>C9*D9</f>
        <v>206000</v>
      </c>
      <c r="G9" s="9">
        <v>89</v>
      </c>
      <c r="H9" s="5">
        <f>C9*G9</f>
        <v>178000</v>
      </c>
      <c r="I9" s="6" t="s">
        <v>9</v>
      </c>
    </row>
    <row r="10" spans="1:9">
      <c r="A10" s="6" t="s">
        <v>51</v>
      </c>
      <c r="B10" s="6" t="s">
        <v>52</v>
      </c>
      <c r="C10" s="5">
        <v>2500</v>
      </c>
      <c r="D10" s="8">
        <v>18</v>
      </c>
      <c r="E10" s="5">
        <f>C10*D10</f>
        <v>45000</v>
      </c>
      <c r="G10" s="9">
        <v>13</v>
      </c>
      <c r="H10" s="5">
        <f>C10*G10</f>
        <v>32500</v>
      </c>
      <c r="I10" s="6" t="s">
        <v>162</v>
      </c>
    </row>
    <row r="11" spans="1:9">
      <c r="A11" s="6" t="s">
        <v>26</v>
      </c>
      <c r="B11" s="6" t="s">
        <v>27</v>
      </c>
      <c r="C11" s="5">
        <v>3000</v>
      </c>
      <c r="D11" s="8">
        <v>28</v>
      </c>
      <c r="E11" s="5">
        <f>C11*D11</f>
        <v>84000</v>
      </c>
      <c r="G11" s="9">
        <v>10</v>
      </c>
      <c r="H11" s="5">
        <f>C11*G11</f>
        <v>30000</v>
      </c>
      <c r="I11" s="6" t="s">
        <v>134</v>
      </c>
    </row>
    <row r="12" spans="1:9">
      <c r="A12" s="6" t="s">
        <v>38</v>
      </c>
      <c r="B12" s="6" t="s">
        <v>39</v>
      </c>
      <c r="C12" s="5">
        <v>3000</v>
      </c>
      <c r="D12" s="8">
        <v>38</v>
      </c>
      <c r="E12" s="5">
        <f>C12*D12</f>
        <v>114000</v>
      </c>
      <c r="G12" s="9">
        <v>10</v>
      </c>
      <c r="H12" s="5">
        <f>C12*G12</f>
        <v>30000</v>
      </c>
      <c r="I12" s="6" t="s">
        <v>134</v>
      </c>
    </row>
    <row r="13" spans="1:9">
      <c r="A13" s="6" t="s">
        <v>22</v>
      </c>
      <c r="B13" s="6" t="s">
        <v>23</v>
      </c>
      <c r="C13" s="5">
        <v>2000</v>
      </c>
      <c r="D13" s="8">
        <v>123</v>
      </c>
      <c r="E13" s="5">
        <f>C13*D13</f>
        <v>246000</v>
      </c>
      <c r="G13" s="9">
        <v>106</v>
      </c>
      <c r="H13" s="5">
        <f>C13*G13</f>
        <v>212000</v>
      </c>
      <c r="I13" s="6" t="s">
        <v>9</v>
      </c>
    </row>
    <row r="14" spans="1:9">
      <c r="A14" s="6" t="s">
        <v>109</v>
      </c>
      <c r="B14" s="6" t="s">
        <v>177</v>
      </c>
      <c r="C14" s="5">
        <v>2000</v>
      </c>
      <c r="D14" s="8">
        <v>170</v>
      </c>
      <c r="E14" s="5">
        <f>C14*D14</f>
        <v>340000</v>
      </c>
      <c r="G14" s="9">
        <v>150</v>
      </c>
      <c r="H14" s="5">
        <f>C14*G14</f>
        <v>300000</v>
      </c>
      <c r="I14" s="6" t="s">
        <v>176</v>
      </c>
    </row>
    <row r="15" spans="1:9">
      <c r="A15" s="6" t="s">
        <v>110</v>
      </c>
      <c r="B15" s="6" t="s">
        <v>111</v>
      </c>
      <c r="C15" s="5">
        <v>4000</v>
      </c>
      <c r="D15" s="8">
        <v>16</v>
      </c>
      <c r="E15" s="5">
        <f>C15*D15</f>
        <v>64000</v>
      </c>
      <c r="G15" s="9">
        <v>7.2</v>
      </c>
      <c r="H15" s="5">
        <f>C15*G15</f>
        <v>28800</v>
      </c>
      <c r="I15" s="6" t="s">
        <v>158</v>
      </c>
    </row>
    <row r="16" spans="1:9">
      <c r="A16" s="6" t="s">
        <v>112</v>
      </c>
      <c r="B16" s="6" t="s">
        <v>113</v>
      </c>
      <c r="C16" s="5">
        <v>4000</v>
      </c>
      <c r="D16" s="8">
        <v>63</v>
      </c>
      <c r="E16" s="5">
        <f>C16*D16</f>
        <v>252000</v>
      </c>
      <c r="G16" s="9">
        <v>3.3</v>
      </c>
      <c r="H16" s="5">
        <f>C16*G16</f>
        <v>13200</v>
      </c>
      <c r="I16" s="6" t="s">
        <v>158</v>
      </c>
    </row>
    <row r="17" spans="1:9">
      <c r="A17" s="6" t="s">
        <v>18</v>
      </c>
      <c r="B17" s="6" t="s">
        <v>19</v>
      </c>
      <c r="C17" s="5">
        <v>1000</v>
      </c>
      <c r="D17" s="8">
        <v>200</v>
      </c>
      <c r="E17" s="5">
        <f>C17*D17</f>
        <v>200000</v>
      </c>
      <c r="G17" s="9">
        <v>148</v>
      </c>
      <c r="H17" s="5">
        <f>C17*G17</f>
        <v>148000</v>
      </c>
      <c r="I17" s="6" t="s">
        <v>4</v>
      </c>
    </row>
    <row r="18" spans="1:9">
      <c r="A18" s="6" t="s">
        <v>20</v>
      </c>
      <c r="B18" s="6" t="s">
        <v>21</v>
      </c>
      <c r="C18" s="5">
        <v>7000</v>
      </c>
      <c r="D18" s="8">
        <v>65</v>
      </c>
      <c r="E18" s="5">
        <f>C18*D18</f>
        <v>455000</v>
      </c>
      <c r="G18" s="9">
        <v>36</v>
      </c>
      <c r="H18" s="5">
        <f>C18*G18</f>
        <v>252000</v>
      </c>
      <c r="I18" s="6" t="s">
        <v>4</v>
      </c>
    </row>
    <row r="19" spans="1:9">
      <c r="A19" s="12" t="s">
        <v>24</v>
      </c>
      <c r="B19" s="12" t="s">
        <v>25</v>
      </c>
      <c r="C19" s="11">
        <v>6000</v>
      </c>
      <c r="D19" s="10">
        <v>77</v>
      </c>
      <c r="E19" s="5">
        <f>C19*D19</f>
        <v>462000</v>
      </c>
      <c r="G19" s="9">
        <v>64</v>
      </c>
      <c r="H19" s="5">
        <f>C19*G19</f>
        <v>384000</v>
      </c>
      <c r="I19" s="6" t="s">
        <v>8</v>
      </c>
    </row>
    <row r="20" spans="1:9">
      <c r="A20" s="6" t="s">
        <v>55</v>
      </c>
      <c r="B20" s="6" t="s">
        <v>56</v>
      </c>
      <c r="C20" s="5">
        <v>7500</v>
      </c>
      <c r="D20" s="8">
        <v>140</v>
      </c>
      <c r="E20" s="5">
        <f>C20*D20</f>
        <v>1050000</v>
      </c>
      <c r="G20" s="9">
        <v>76</v>
      </c>
      <c r="H20" s="5">
        <f>C20*G20</f>
        <v>570000</v>
      </c>
      <c r="I20" s="6" t="s">
        <v>4</v>
      </c>
    </row>
    <row r="21" spans="1:9">
      <c r="A21" s="6" t="s">
        <v>77</v>
      </c>
      <c r="B21" s="6" t="s">
        <v>78</v>
      </c>
      <c r="C21" s="5">
        <v>3000</v>
      </c>
      <c r="D21" s="8">
        <v>180</v>
      </c>
      <c r="E21" s="5">
        <f>C21*D21</f>
        <v>540000</v>
      </c>
      <c r="G21" s="9">
        <v>130</v>
      </c>
      <c r="H21" s="5">
        <f>C21*G21</f>
        <v>390000</v>
      </c>
      <c r="I21" s="6" t="s">
        <v>4</v>
      </c>
    </row>
    <row r="22" spans="1:9">
      <c r="A22" s="6" t="s">
        <v>72</v>
      </c>
      <c r="B22" s="6" t="s">
        <v>73</v>
      </c>
      <c r="C22" s="5">
        <v>3000</v>
      </c>
      <c r="D22" s="8">
        <v>510</v>
      </c>
      <c r="E22" s="5">
        <f>C22*D22</f>
        <v>1530000</v>
      </c>
      <c r="G22" s="9">
        <v>440</v>
      </c>
      <c r="H22" s="5">
        <f>C22*G22</f>
        <v>1320000</v>
      </c>
      <c r="I22" s="6" t="s">
        <v>4</v>
      </c>
    </row>
    <row r="23" spans="1:9">
      <c r="A23" s="6" t="s">
        <v>69</v>
      </c>
      <c r="B23" s="6" t="s">
        <v>175</v>
      </c>
      <c r="C23" s="5">
        <v>3000</v>
      </c>
      <c r="D23" s="8">
        <v>175</v>
      </c>
      <c r="E23" s="5">
        <f>C23*D23</f>
        <v>525000</v>
      </c>
      <c r="G23" s="9">
        <v>115</v>
      </c>
      <c r="H23" s="5">
        <f>C23*G23</f>
        <v>345000</v>
      </c>
      <c r="I23" s="6" t="s">
        <v>151</v>
      </c>
    </row>
    <row r="24" spans="1:9">
      <c r="A24" s="6" t="s">
        <v>114</v>
      </c>
      <c r="B24" s="6" t="s">
        <v>174</v>
      </c>
      <c r="C24" s="5">
        <v>5000</v>
      </c>
      <c r="D24" s="8">
        <v>3</v>
      </c>
      <c r="E24" s="5">
        <f>C24*D24</f>
        <v>15000</v>
      </c>
      <c r="G24" s="9">
        <v>2.5</v>
      </c>
      <c r="H24" s="5">
        <f>C24*G24</f>
        <v>12500</v>
      </c>
      <c r="I24" s="6" t="s">
        <v>173</v>
      </c>
    </row>
    <row r="25" spans="1:9">
      <c r="A25" s="6" t="s">
        <v>115</v>
      </c>
      <c r="B25" s="6" t="s">
        <v>116</v>
      </c>
      <c r="C25" s="5">
        <v>20000</v>
      </c>
      <c r="D25" s="8">
        <v>3</v>
      </c>
      <c r="E25" s="5">
        <f>C25*D25</f>
        <v>60000</v>
      </c>
      <c r="G25" s="9">
        <v>2.2000000000000002</v>
      </c>
      <c r="H25" s="5">
        <f>C25*G25</f>
        <v>44000</v>
      </c>
      <c r="I25" s="6" t="s">
        <v>172</v>
      </c>
    </row>
    <row r="26" spans="1:9">
      <c r="A26" s="6" t="s">
        <v>63</v>
      </c>
      <c r="B26" s="6" t="s">
        <v>64</v>
      </c>
      <c r="C26" s="5">
        <v>2000</v>
      </c>
      <c r="D26" s="8">
        <v>360</v>
      </c>
      <c r="E26" s="5">
        <f>C26*D26</f>
        <v>720000</v>
      </c>
      <c r="G26" s="9">
        <v>351</v>
      </c>
      <c r="H26" s="5">
        <f>C26*G26</f>
        <v>702000</v>
      </c>
      <c r="I26" s="6" t="s">
        <v>4</v>
      </c>
    </row>
    <row r="27" spans="1:9">
      <c r="A27" s="6" t="s">
        <v>117</v>
      </c>
      <c r="B27" s="6" t="s">
        <v>171</v>
      </c>
      <c r="C27" s="5">
        <v>1000</v>
      </c>
      <c r="D27" s="8">
        <v>4000</v>
      </c>
      <c r="E27" s="5">
        <f>C27*D27</f>
        <v>4000000</v>
      </c>
      <c r="G27" s="9">
        <v>3058</v>
      </c>
      <c r="H27" s="5">
        <f>C27*G27</f>
        <v>3058000</v>
      </c>
      <c r="I27" s="6" t="s">
        <v>4</v>
      </c>
    </row>
    <row r="28" spans="1:9">
      <c r="A28" s="6" t="s">
        <v>47</v>
      </c>
      <c r="B28" s="6" t="s">
        <v>48</v>
      </c>
      <c r="C28" s="5">
        <v>3000</v>
      </c>
      <c r="D28" s="8">
        <v>24</v>
      </c>
      <c r="E28" s="5">
        <f>C28*D28</f>
        <v>72000</v>
      </c>
      <c r="G28" s="9">
        <v>10</v>
      </c>
      <c r="H28" s="5">
        <f>C28*G28</f>
        <v>30000</v>
      </c>
      <c r="I28" s="6" t="s">
        <v>134</v>
      </c>
    </row>
    <row r="29" spans="1:9">
      <c r="A29" s="6" t="s">
        <v>118</v>
      </c>
      <c r="B29" s="6" t="s">
        <v>119</v>
      </c>
      <c r="C29" s="5">
        <v>3000</v>
      </c>
      <c r="D29" s="8">
        <v>24</v>
      </c>
      <c r="E29" s="5">
        <f>C29*D29</f>
        <v>72000</v>
      </c>
      <c r="G29" s="9">
        <v>10</v>
      </c>
      <c r="H29" s="5">
        <f>C29*G29</f>
        <v>30000</v>
      </c>
      <c r="I29" s="6" t="s">
        <v>134</v>
      </c>
    </row>
    <row r="30" spans="1:9">
      <c r="A30" s="6" t="s">
        <v>16</v>
      </c>
      <c r="B30" s="6" t="s">
        <v>17</v>
      </c>
      <c r="C30" s="5">
        <v>5000</v>
      </c>
      <c r="D30" s="8">
        <v>15</v>
      </c>
      <c r="E30" s="5">
        <f>C30*D30</f>
        <v>75000</v>
      </c>
      <c r="G30" s="9">
        <v>8</v>
      </c>
      <c r="H30" s="5">
        <f>C30*G30</f>
        <v>40000</v>
      </c>
      <c r="I30" s="6" t="s">
        <v>160</v>
      </c>
    </row>
    <row r="31" spans="1:9">
      <c r="A31" s="6" t="s">
        <v>120</v>
      </c>
      <c r="B31" s="6" t="s">
        <v>121</v>
      </c>
      <c r="C31" s="5">
        <v>300</v>
      </c>
      <c r="D31" s="8">
        <v>7000</v>
      </c>
      <c r="E31" s="5">
        <v>2100000</v>
      </c>
      <c r="G31" s="9">
        <v>6620</v>
      </c>
      <c r="H31" s="5">
        <f>C31*G31</f>
        <v>1986000</v>
      </c>
      <c r="I31" s="6" t="s">
        <v>123</v>
      </c>
    </row>
    <row r="32" spans="1:9">
      <c r="A32" s="6" t="s">
        <v>36</v>
      </c>
      <c r="B32" s="6" t="s">
        <v>37</v>
      </c>
      <c r="C32" s="5">
        <v>2500</v>
      </c>
      <c r="D32" s="8">
        <v>340</v>
      </c>
      <c r="E32" s="5">
        <v>850000</v>
      </c>
      <c r="G32" s="9">
        <f>0.074*1.03*1500</f>
        <v>114.33</v>
      </c>
      <c r="H32" s="5">
        <f>C32*G32</f>
        <v>285825</v>
      </c>
      <c r="I32" s="6" t="s">
        <v>4</v>
      </c>
    </row>
    <row r="33" spans="1:10">
      <c r="A33" s="6" t="s">
        <v>15</v>
      </c>
      <c r="B33" s="6" t="s">
        <v>6</v>
      </c>
      <c r="C33" s="5">
        <v>4000</v>
      </c>
      <c r="D33" s="8">
        <v>37</v>
      </c>
      <c r="E33" s="5">
        <v>148000</v>
      </c>
      <c r="G33" s="9">
        <v>33</v>
      </c>
      <c r="H33" s="5">
        <f>C33*G33</f>
        <v>132000</v>
      </c>
      <c r="I33" s="6" t="s">
        <v>7</v>
      </c>
    </row>
    <row r="34" spans="1:10">
      <c r="A34" s="6" t="s">
        <v>24</v>
      </c>
      <c r="B34" s="6" t="s">
        <v>25</v>
      </c>
      <c r="C34" s="5">
        <v>3000</v>
      </c>
      <c r="D34" s="8">
        <v>77</v>
      </c>
      <c r="E34" s="5">
        <v>231000</v>
      </c>
      <c r="G34" s="9">
        <v>64</v>
      </c>
      <c r="H34" s="5">
        <f>C34*G34</f>
        <v>192000</v>
      </c>
      <c r="I34" s="6" t="s">
        <v>8</v>
      </c>
    </row>
    <row r="35" spans="1:10">
      <c r="A35" s="6" t="s">
        <v>79</v>
      </c>
      <c r="B35" s="6" t="s">
        <v>80</v>
      </c>
      <c r="C35" s="5">
        <v>2500</v>
      </c>
      <c r="D35" s="8">
        <v>170</v>
      </c>
      <c r="E35" s="5">
        <v>425000</v>
      </c>
      <c r="G35" s="9">
        <v>97</v>
      </c>
      <c r="H35" s="5">
        <f>C35*G35</f>
        <v>242500</v>
      </c>
      <c r="I35" s="6" t="s">
        <v>4</v>
      </c>
    </row>
    <row r="36" spans="1:10">
      <c r="A36" s="6" t="s">
        <v>81</v>
      </c>
      <c r="B36" s="6" t="s">
        <v>82</v>
      </c>
      <c r="C36" s="5">
        <v>2000</v>
      </c>
      <c r="D36" s="8">
        <v>60</v>
      </c>
      <c r="E36" s="5">
        <v>120000</v>
      </c>
      <c r="G36" s="9">
        <v>48</v>
      </c>
      <c r="H36" s="5">
        <f>C36*G36</f>
        <v>96000</v>
      </c>
      <c r="I36" s="6" t="s">
        <v>158</v>
      </c>
      <c r="J36" s="2"/>
    </row>
    <row r="37" spans="1:10">
      <c r="A37" s="6" t="s">
        <v>30</v>
      </c>
      <c r="B37" s="6" t="s">
        <v>31</v>
      </c>
      <c r="C37" s="5">
        <v>9000</v>
      </c>
      <c r="D37" s="8">
        <v>83</v>
      </c>
      <c r="E37" s="5">
        <v>747000</v>
      </c>
      <c r="G37" s="9">
        <v>65.5</v>
      </c>
      <c r="H37" s="5">
        <f>C37*G37</f>
        <v>589500</v>
      </c>
      <c r="I37" s="6" t="s">
        <v>149</v>
      </c>
    </row>
    <row r="38" spans="1:10">
      <c r="A38" s="6" t="s">
        <v>70</v>
      </c>
      <c r="B38" s="6" t="s">
        <v>71</v>
      </c>
      <c r="C38" s="5">
        <v>3000</v>
      </c>
      <c r="D38" s="8">
        <v>23</v>
      </c>
      <c r="E38" s="5">
        <v>69000</v>
      </c>
      <c r="G38" s="9">
        <v>18</v>
      </c>
      <c r="H38" s="5">
        <f>C38*G38</f>
        <v>54000</v>
      </c>
      <c r="I38" s="6" t="s">
        <v>162</v>
      </c>
    </row>
    <row r="39" spans="1:10">
      <c r="A39" s="6" t="s">
        <v>51</v>
      </c>
      <c r="B39" s="6" t="s">
        <v>52</v>
      </c>
      <c r="C39" s="5">
        <v>2500</v>
      </c>
      <c r="D39" s="8">
        <v>18</v>
      </c>
      <c r="E39" s="5">
        <v>45000</v>
      </c>
      <c r="G39" s="9">
        <v>13</v>
      </c>
      <c r="H39" s="5">
        <f>C39*G39</f>
        <v>32500</v>
      </c>
      <c r="I39" s="6" t="s">
        <v>162</v>
      </c>
    </row>
    <row r="40" spans="1:10">
      <c r="A40" s="6" t="s">
        <v>83</v>
      </c>
      <c r="B40" s="6" t="s">
        <v>84</v>
      </c>
      <c r="C40" s="5">
        <v>3000</v>
      </c>
      <c r="D40" s="8">
        <v>28</v>
      </c>
      <c r="E40" s="5">
        <v>84000</v>
      </c>
      <c r="G40" s="9">
        <v>10</v>
      </c>
      <c r="H40" s="5">
        <f>C40*G40</f>
        <v>30000</v>
      </c>
      <c r="I40" s="6" t="s">
        <v>134</v>
      </c>
    </row>
    <row r="41" spans="1:10">
      <c r="A41" s="6" t="s">
        <v>74</v>
      </c>
      <c r="B41" s="6" t="s">
        <v>75</v>
      </c>
      <c r="C41" s="5">
        <v>3000</v>
      </c>
      <c r="D41" s="8">
        <v>67</v>
      </c>
      <c r="E41" s="5">
        <v>201000</v>
      </c>
      <c r="G41" s="9">
        <v>65</v>
      </c>
      <c r="H41" s="5">
        <f>C41*G41</f>
        <v>195000</v>
      </c>
      <c r="I41" s="6" t="s">
        <v>160</v>
      </c>
    </row>
    <row r="42" spans="1:10">
      <c r="A42" s="6" t="s">
        <v>55</v>
      </c>
      <c r="B42" s="6" t="s">
        <v>56</v>
      </c>
      <c r="C42" s="5">
        <v>12500</v>
      </c>
      <c r="D42" s="8">
        <v>140</v>
      </c>
      <c r="E42" s="5">
        <v>1750000</v>
      </c>
      <c r="G42" s="9">
        <v>74</v>
      </c>
      <c r="H42" s="5">
        <f>C42*G42</f>
        <v>925000</v>
      </c>
      <c r="I42" s="6" t="s">
        <v>4</v>
      </c>
    </row>
    <row r="43" spans="1:10">
      <c r="A43" s="6" t="s">
        <v>85</v>
      </c>
      <c r="B43" s="6" t="s">
        <v>86</v>
      </c>
      <c r="C43" s="5">
        <v>6000</v>
      </c>
      <c r="D43" s="8">
        <v>60</v>
      </c>
      <c r="E43" s="5">
        <v>360000</v>
      </c>
      <c r="G43" s="9">
        <v>45</v>
      </c>
      <c r="H43" s="5">
        <f>C43*G43</f>
        <v>270000</v>
      </c>
      <c r="I43" s="6" t="s">
        <v>141</v>
      </c>
    </row>
    <row r="44" spans="1:10">
      <c r="A44" s="6" t="s">
        <v>87</v>
      </c>
      <c r="B44" s="6" t="s">
        <v>11</v>
      </c>
      <c r="C44" s="5">
        <v>5000</v>
      </c>
      <c r="D44" s="8">
        <v>32</v>
      </c>
      <c r="E44" s="5">
        <v>160000</v>
      </c>
      <c r="G44" s="9">
        <v>30.2</v>
      </c>
      <c r="H44" s="5">
        <f>C44*G44</f>
        <v>151000</v>
      </c>
      <c r="I44" s="6" t="s">
        <v>9</v>
      </c>
    </row>
    <row r="45" spans="1:10">
      <c r="A45" s="6" t="s">
        <v>42</v>
      </c>
      <c r="B45" s="6" t="s">
        <v>139</v>
      </c>
      <c r="C45" s="5">
        <v>7000</v>
      </c>
      <c r="D45" s="8">
        <v>25</v>
      </c>
      <c r="E45" s="5">
        <v>175000</v>
      </c>
      <c r="G45" s="9">
        <v>20.8</v>
      </c>
      <c r="H45" s="5">
        <f>C45*G45</f>
        <v>145600</v>
      </c>
      <c r="I45" s="6" t="s">
        <v>9</v>
      </c>
    </row>
    <row r="46" spans="1:10">
      <c r="A46" s="6" t="s">
        <v>43</v>
      </c>
      <c r="B46" s="6" t="s">
        <v>44</v>
      </c>
      <c r="C46" s="5">
        <v>1000</v>
      </c>
      <c r="D46" s="8">
        <v>90</v>
      </c>
      <c r="E46" s="5">
        <v>90000</v>
      </c>
      <c r="G46" s="9">
        <v>70</v>
      </c>
      <c r="H46" s="5">
        <f>C46*G46</f>
        <v>70000</v>
      </c>
      <c r="I46" s="6" t="s">
        <v>156</v>
      </c>
    </row>
    <row r="47" spans="1:10">
      <c r="A47" s="6" t="s">
        <v>34</v>
      </c>
      <c r="B47" s="6" t="s">
        <v>35</v>
      </c>
      <c r="C47" s="5">
        <v>6000</v>
      </c>
      <c r="D47" s="8">
        <v>270</v>
      </c>
      <c r="E47" s="5">
        <v>1620000</v>
      </c>
      <c r="G47" s="9">
        <v>117</v>
      </c>
      <c r="H47" s="5">
        <f>C47*G47</f>
        <v>702000</v>
      </c>
      <c r="I47" s="6" t="s">
        <v>4</v>
      </c>
    </row>
    <row r="48" spans="1:10">
      <c r="A48" s="6" t="s">
        <v>88</v>
      </c>
      <c r="B48" s="6" t="s">
        <v>89</v>
      </c>
      <c r="C48" s="5">
        <v>6000</v>
      </c>
      <c r="D48" s="8">
        <v>290</v>
      </c>
      <c r="E48" s="5">
        <v>1740000</v>
      </c>
      <c r="G48" s="9">
        <v>199</v>
      </c>
      <c r="H48" s="5">
        <f>C48*G48</f>
        <v>1194000</v>
      </c>
      <c r="I48" s="6" t="s">
        <v>4</v>
      </c>
    </row>
    <row r="49" spans="1:9">
      <c r="A49" s="6" t="s">
        <v>36</v>
      </c>
      <c r="B49" s="6" t="s">
        <v>37</v>
      </c>
      <c r="C49" s="5">
        <v>5000</v>
      </c>
      <c r="D49" s="8">
        <v>340</v>
      </c>
      <c r="E49" s="5">
        <v>1700000</v>
      </c>
      <c r="G49" s="9">
        <v>111</v>
      </c>
      <c r="H49" s="5">
        <f>C49*G49</f>
        <v>555000</v>
      </c>
      <c r="I49" s="6" t="s">
        <v>4</v>
      </c>
    </row>
    <row r="50" spans="1:9">
      <c r="A50" s="6" t="s">
        <v>45</v>
      </c>
      <c r="B50" s="6" t="s">
        <v>46</v>
      </c>
      <c r="C50" s="5">
        <v>22000</v>
      </c>
      <c r="D50" s="8">
        <v>270</v>
      </c>
      <c r="E50" s="5">
        <v>5940000</v>
      </c>
      <c r="G50" s="9">
        <v>183</v>
      </c>
      <c r="H50" s="5">
        <f>C50*G50</f>
        <v>4026000</v>
      </c>
      <c r="I50" s="6" t="s">
        <v>158</v>
      </c>
    </row>
    <row r="51" spans="1:9">
      <c r="A51" s="6" t="s">
        <v>13</v>
      </c>
      <c r="B51" s="6" t="s">
        <v>14</v>
      </c>
      <c r="C51" s="5">
        <v>15000</v>
      </c>
      <c r="D51" s="8">
        <v>100</v>
      </c>
      <c r="E51" s="5">
        <v>1500000</v>
      </c>
      <c r="G51" s="9">
        <v>87</v>
      </c>
      <c r="H51" s="5">
        <f>C51*G51</f>
        <v>1305000</v>
      </c>
      <c r="I51" s="6" t="s">
        <v>5</v>
      </c>
    </row>
    <row r="52" spans="1:9">
      <c r="A52" s="6" t="s">
        <v>15</v>
      </c>
      <c r="B52" s="6" t="s">
        <v>6</v>
      </c>
      <c r="C52" s="5">
        <v>64000</v>
      </c>
      <c r="D52" s="8">
        <v>37</v>
      </c>
      <c r="E52" s="5">
        <v>2368000</v>
      </c>
      <c r="G52" s="9">
        <v>33</v>
      </c>
      <c r="H52" s="5">
        <f>C52*G52</f>
        <v>2112000</v>
      </c>
      <c r="I52" s="6" t="s">
        <v>155</v>
      </c>
    </row>
    <row r="53" spans="1:9">
      <c r="A53" s="6" t="s">
        <v>90</v>
      </c>
      <c r="B53" s="6" t="s">
        <v>12</v>
      </c>
      <c r="C53" s="5">
        <v>6000</v>
      </c>
      <c r="D53" s="8">
        <v>29</v>
      </c>
      <c r="E53" s="5">
        <v>174000</v>
      </c>
      <c r="G53" s="9">
        <v>23.6</v>
      </c>
      <c r="H53" s="5">
        <f>C53*G53</f>
        <v>141600</v>
      </c>
      <c r="I53" s="6" t="s">
        <v>9</v>
      </c>
    </row>
    <row r="54" spans="1:9">
      <c r="A54" s="6" t="s">
        <v>67</v>
      </c>
      <c r="B54" s="6" t="s">
        <v>161</v>
      </c>
      <c r="C54" s="5">
        <v>6000</v>
      </c>
      <c r="D54" s="8">
        <v>103</v>
      </c>
      <c r="E54" s="5">
        <v>618000</v>
      </c>
      <c r="G54" s="9">
        <v>89</v>
      </c>
      <c r="H54" s="5">
        <f>C54*G54</f>
        <v>534000</v>
      </c>
      <c r="I54" s="6" t="s">
        <v>9</v>
      </c>
    </row>
    <row r="55" spans="1:9">
      <c r="A55" s="6" t="s">
        <v>49</v>
      </c>
      <c r="B55" s="6" t="s">
        <v>50</v>
      </c>
      <c r="C55" s="5">
        <v>25000</v>
      </c>
      <c r="D55" s="8">
        <v>19</v>
      </c>
      <c r="E55" s="5">
        <v>475000</v>
      </c>
      <c r="G55" s="9">
        <v>9</v>
      </c>
      <c r="H55" s="5">
        <f>C55*G55</f>
        <v>225000</v>
      </c>
      <c r="I55" s="6" t="s">
        <v>162</v>
      </c>
    </row>
    <row r="56" spans="1:9">
      <c r="A56" s="6" t="s">
        <v>26</v>
      </c>
      <c r="B56" s="6" t="s">
        <v>27</v>
      </c>
      <c r="C56" s="5">
        <v>6000</v>
      </c>
      <c r="D56" s="8">
        <v>28</v>
      </c>
      <c r="E56" s="5">
        <v>168000</v>
      </c>
      <c r="G56" s="9">
        <v>10</v>
      </c>
      <c r="H56" s="5">
        <f>C56*G56</f>
        <v>60000</v>
      </c>
      <c r="I56" s="6" t="s">
        <v>134</v>
      </c>
    </row>
    <row r="57" spans="1:9">
      <c r="A57" s="6" t="s">
        <v>38</v>
      </c>
      <c r="B57" s="6" t="s">
        <v>39</v>
      </c>
      <c r="C57" s="5">
        <v>6000</v>
      </c>
      <c r="D57" s="8">
        <v>38</v>
      </c>
      <c r="E57" s="5">
        <v>228000</v>
      </c>
      <c r="G57" s="9">
        <v>10</v>
      </c>
      <c r="H57" s="5">
        <f>C57*G57</f>
        <v>60000</v>
      </c>
      <c r="I57" s="6" t="s">
        <v>134</v>
      </c>
    </row>
    <row r="58" spans="1:9">
      <c r="A58" s="6" t="s">
        <v>59</v>
      </c>
      <c r="B58" s="6" t="s">
        <v>60</v>
      </c>
      <c r="C58" s="5">
        <v>3000</v>
      </c>
      <c r="D58" s="8">
        <v>16.600000000000001</v>
      </c>
      <c r="E58" s="5">
        <v>49800</v>
      </c>
      <c r="G58" s="9">
        <f>0.0078*1.03*1500</f>
        <v>12.050999999999998</v>
      </c>
      <c r="H58" s="5">
        <f>C58*G58</f>
        <v>36152.999999999993</v>
      </c>
      <c r="I58" s="6" t="s">
        <v>4</v>
      </c>
    </row>
    <row r="59" spans="1:9">
      <c r="A59" s="6" t="s">
        <v>16</v>
      </c>
      <c r="B59" s="6" t="s">
        <v>17</v>
      </c>
      <c r="C59" s="5">
        <v>22500</v>
      </c>
      <c r="D59" s="8">
        <v>15</v>
      </c>
      <c r="E59" s="5">
        <v>337500</v>
      </c>
      <c r="G59" s="9">
        <v>8</v>
      </c>
      <c r="H59" s="5">
        <f>C59*G59</f>
        <v>180000</v>
      </c>
      <c r="I59" s="6" t="s">
        <v>160</v>
      </c>
    </row>
    <row r="60" spans="1:9">
      <c r="A60" s="6" t="s">
        <v>22</v>
      </c>
      <c r="B60" s="6" t="s">
        <v>23</v>
      </c>
      <c r="C60" s="5">
        <v>5000</v>
      </c>
      <c r="D60" s="8">
        <v>123</v>
      </c>
      <c r="E60" s="5">
        <v>615000</v>
      </c>
      <c r="G60" s="9">
        <v>106</v>
      </c>
      <c r="H60" s="5">
        <f>C60*G60</f>
        <v>530000</v>
      </c>
      <c r="I60" s="6" t="s">
        <v>9</v>
      </c>
    </row>
    <row r="61" spans="1:9">
      <c r="A61" s="6" t="s">
        <v>28</v>
      </c>
      <c r="B61" s="6" t="s">
        <v>29</v>
      </c>
      <c r="C61" s="5">
        <v>16000</v>
      </c>
      <c r="D61" s="8">
        <v>6</v>
      </c>
      <c r="E61" s="5">
        <v>96000</v>
      </c>
      <c r="G61" s="9">
        <v>3.4</v>
      </c>
      <c r="H61" s="5">
        <f>C61*G61</f>
        <v>54400</v>
      </c>
      <c r="I61" s="6" t="s">
        <v>158</v>
      </c>
    </row>
    <row r="62" spans="1:9">
      <c r="A62" s="6" t="s">
        <v>91</v>
      </c>
      <c r="B62" s="6" t="s">
        <v>170</v>
      </c>
      <c r="C62" s="5">
        <v>3000</v>
      </c>
      <c r="D62" s="8">
        <v>95</v>
      </c>
      <c r="E62" s="5">
        <v>285000</v>
      </c>
      <c r="G62" s="9">
        <v>65</v>
      </c>
      <c r="H62" s="5">
        <f>C62*G62</f>
        <v>195000</v>
      </c>
      <c r="I62" s="6" t="s">
        <v>169</v>
      </c>
    </row>
    <row r="63" spans="1:9">
      <c r="A63" s="6" t="s">
        <v>40</v>
      </c>
      <c r="B63" s="6" t="s">
        <v>41</v>
      </c>
      <c r="C63" s="5">
        <v>12000</v>
      </c>
      <c r="D63" s="8">
        <v>20</v>
      </c>
      <c r="E63" s="5">
        <v>240000</v>
      </c>
      <c r="G63" s="9">
        <v>12</v>
      </c>
      <c r="H63" s="5">
        <f>C63*G63</f>
        <v>144000</v>
      </c>
      <c r="I63" s="6" t="s">
        <v>4</v>
      </c>
    </row>
    <row r="64" spans="1:9">
      <c r="A64" s="6" t="s">
        <v>53</v>
      </c>
      <c r="B64" s="6" t="s">
        <v>54</v>
      </c>
      <c r="C64" s="5">
        <v>8000</v>
      </c>
      <c r="D64" s="8">
        <v>18</v>
      </c>
      <c r="E64" s="5">
        <v>144000</v>
      </c>
      <c r="G64" s="9">
        <v>15</v>
      </c>
      <c r="H64" s="5">
        <f>C64*G64</f>
        <v>120000</v>
      </c>
      <c r="I64" s="6" t="s">
        <v>129</v>
      </c>
    </row>
    <row r="65" spans="1:9">
      <c r="A65" s="6" t="s">
        <v>66</v>
      </c>
      <c r="B65" s="6" t="s">
        <v>168</v>
      </c>
      <c r="C65" s="5">
        <v>3000</v>
      </c>
      <c r="D65" s="8">
        <v>71</v>
      </c>
      <c r="E65" s="5">
        <v>213000</v>
      </c>
      <c r="G65" s="9">
        <v>47</v>
      </c>
      <c r="H65" s="5">
        <f>C65*G65</f>
        <v>141000</v>
      </c>
      <c r="I65" s="6" t="s">
        <v>167</v>
      </c>
    </row>
    <row r="66" spans="1:9">
      <c r="A66" s="6" t="s">
        <v>20</v>
      </c>
      <c r="B66" s="6" t="s">
        <v>21</v>
      </c>
      <c r="C66" s="5">
        <v>21000</v>
      </c>
      <c r="D66" s="8">
        <v>65</v>
      </c>
      <c r="E66" s="5">
        <v>1365000</v>
      </c>
      <c r="G66" s="9">
        <v>34</v>
      </c>
      <c r="H66" s="5">
        <f>C66*G66</f>
        <v>714000</v>
      </c>
      <c r="I66" s="6" t="s">
        <v>4</v>
      </c>
    </row>
    <row r="67" spans="1:9">
      <c r="A67" s="6" t="s">
        <v>24</v>
      </c>
      <c r="B67" s="6" t="s">
        <v>25</v>
      </c>
      <c r="C67" s="5">
        <v>15000</v>
      </c>
      <c r="D67" s="8">
        <v>77</v>
      </c>
      <c r="E67" s="5">
        <v>1155000</v>
      </c>
      <c r="G67" s="9">
        <v>64</v>
      </c>
      <c r="H67" s="5">
        <f>C67*G67</f>
        <v>960000</v>
      </c>
      <c r="I67" s="6" t="s">
        <v>8</v>
      </c>
    </row>
    <row r="68" spans="1:9">
      <c r="A68" s="6" t="s">
        <v>61</v>
      </c>
      <c r="B68" s="6" t="s">
        <v>62</v>
      </c>
      <c r="C68" s="5">
        <v>2000</v>
      </c>
      <c r="D68" s="8">
        <v>90</v>
      </c>
      <c r="E68" s="5">
        <v>180000</v>
      </c>
      <c r="G68" s="9">
        <v>85</v>
      </c>
      <c r="H68" s="5">
        <f>C68*G68</f>
        <v>170000</v>
      </c>
      <c r="I68" s="6" t="s">
        <v>156</v>
      </c>
    </row>
    <row r="69" spans="1:9">
      <c r="A69" s="6" t="s">
        <v>92</v>
      </c>
      <c r="B69" s="6" t="s">
        <v>93</v>
      </c>
      <c r="C69" s="5">
        <v>3000</v>
      </c>
      <c r="D69" s="8">
        <v>29</v>
      </c>
      <c r="E69" s="5">
        <v>87000</v>
      </c>
      <c r="G69" s="9">
        <v>25</v>
      </c>
      <c r="H69" s="5">
        <f>C69*G69</f>
        <v>75000</v>
      </c>
      <c r="I69" s="6" t="s">
        <v>4</v>
      </c>
    </row>
    <row r="70" spans="1:9">
      <c r="A70" s="6" t="s">
        <v>94</v>
      </c>
      <c r="B70" s="6" t="s">
        <v>95</v>
      </c>
      <c r="C70" s="5">
        <v>3000</v>
      </c>
      <c r="D70" s="8">
        <v>150</v>
      </c>
      <c r="E70" s="5">
        <v>450000</v>
      </c>
      <c r="G70" s="9">
        <f>0.068*1.03*1500</f>
        <v>105.06</v>
      </c>
      <c r="H70" s="5">
        <f>C70*G70</f>
        <v>315180</v>
      </c>
      <c r="I70" s="6" t="s">
        <v>4</v>
      </c>
    </row>
    <row r="71" spans="1:9">
      <c r="A71" s="6" t="s">
        <v>96</v>
      </c>
      <c r="B71" s="6" t="s">
        <v>166</v>
      </c>
      <c r="C71" s="5">
        <v>3000</v>
      </c>
      <c r="D71" s="8">
        <v>70</v>
      </c>
      <c r="E71" s="5">
        <v>210000</v>
      </c>
      <c r="G71" s="9">
        <v>55</v>
      </c>
      <c r="H71" s="5">
        <f>C71*G71</f>
        <v>165000</v>
      </c>
      <c r="I71" s="6" t="s">
        <v>165</v>
      </c>
    </row>
    <row r="72" spans="1:9">
      <c r="A72" s="6" t="s">
        <v>57</v>
      </c>
      <c r="B72" s="6" t="s">
        <v>58</v>
      </c>
      <c r="C72" s="5">
        <v>3000</v>
      </c>
      <c r="D72" s="8">
        <v>12</v>
      </c>
      <c r="E72" s="5">
        <v>36000</v>
      </c>
      <c r="G72" s="9">
        <v>11</v>
      </c>
      <c r="H72" s="5">
        <f>C72*G72</f>
        <v>33000</v>
      </c>
      <c r="I72" s="6" t="s">
        <v>164</v>
      </c>
    </row>
    <row r="73" spans="1:9">
      <c r="A73" s="6" t="s">
        <v>97</v>
      </c>
      <c r="B73" s="6" t="s">
        <v>163</v>
      </c>
      <c r="C73" s="5">
        <v>5000</v>
      </c>
      <c r="D73" s="8">
        <v>6</v>
      </c>
      <c r="E73" s="5">
        <v>30000</v>
      </c>
      <c r="G73" s="9">
        <v>4.5</v>
      </c>
      <c r="H73" s="5">
        <f>C73*G73</f>
        <v>22500</v>
      </c>
      <c r="I73" s="6" t="s">
        <v>162</v>
      </c>
    </row>
    <row r="74" spans="1:9">
      <c r="A74" s="6" t="s">
        <v>55</v>
      </c>
      <c r="B74" s="6" t="s">
        <v>56</v>
      </c>
      <c r="C74" s="5">
        <v>2500</v>
      </c>
      <c r="D74" s="8">
        <v>140</v>
      </c>
      <c r="E74" s="5">
        <v>350000</v>
      </c>
      <c r="G74" s="9">
        <v>74</v>
      </c>
      <c r="H74" s="5">
        <f>C74*G74</f>
        <v>185000</v>
      </c>
      <c r="I74" s="6" t="s">
        <v>4</v>
      </c>
    </row>
    <row r="75" spans="1:9">
      <c r="A75" s="6" t="s">
        <v>67</v>
      </c>
      <c r="B75" s="6" t="s">
        <v>161</v>
      </c>
      <c r="C75" s="5">
        <v>6000</v>
      </c>
      <c r="D75" s="8">
        <v>103</v>
      </c>
      <c r="E75" s="5">
        <v>618000</v>
      </c>
      <c r="G75" s="9">
        <v>89</v>
      </c>
      <c r="H75" s="5">
        <f>C75*G75</f>
        <v>534000</v>
      </c>
      <c r="I75" s="6" t="s">
        <v>9</v>
      </c>
    </row>
    <row r="76" spans="1:9">
      <c r="A76" s="6" t="s">
        <v>16</v>
      </c>
      <c r="B76" s="6" t="s">
        <v>17</v>
      </c>
      <c r="C76" s="5">
        <v>15000</v>
      </c>
      <c r="D76" s="8">
        <v>15</v>
      </c>
      <c r="E76" s="5">
        <v>225000</v>
      </c>
      <c r="G76" s="9">
        <v>8</v>
      </c>
      <c r="H76" s="5">
        <f>C76*G76</f>
        <v>120000</v>
      </c>
      <c r="I76" s="6" t="s">
        <v>160</v>
      </c>
    </row>
    <row r="77" spans="1:9">
      <c r="A77" s="6" t="s">
        <v>22</v>
      </c>
      <c r="B77" s="6" t="s">
        <v>159</v>
      </c>
      <c r="C77" s="5">
        <v>5000</v>
      </c>
      <c r="D77" s="8">
        <v>123</v>
      </c>
      <c r="E77" s="5">
        <v>615000</v>
      </c>
      <c r="G77" s="9">
        <v>106</v>
      </c>
      <c r="H77" s="5">
        <f>C77*G77</f>
        <v>530000</v>
      </c>
      <c r="I77" s="6" t="s">
        <v>9</v>
      </c>
    </row>
    <row r="78" spans="1:9">
      <c r="A78" s="6" t="s">
        <v>98</v>
      </c>
      <c r="B78" s="6" t="s">
        <v>99</v>
      </c>
      <c r="C78" s="5">
        <v>22400</v>
      </c>
      <c r="D78" s="8">
        <v>64</v>
      </c>
      <c r="E78" s="5">
        <v>1433600</v>
      </c>
      <c r="G78" s="9">
        <v>52</v>
      </c>
      <c r="H78" s="5">
        <f>C78*G78</f>
        <v>1164800</v>
      </c>
      <c r="I78" s="6" t="s">
        <v>157</v>
      </c>
    </row>
    <row r="79" spans="1:9">
      <c r="A79" s="6" t="s">
        <v>20</v>
      </c>
      <c r="B79" s="6" t="s">
        <v>21</v>
      </c>
      <c r="C79" s="5">
        <v>14000</v>
      </c>
      <c r="D79" s="8">
        <v>65</v>
      </c>
      <c r="E79" s="5">
        <v>910000</v>
      </c>
      <c r="G79" s="9">
        <v>34</v>
      </c>
      <c r="H79" s="5">
        <f>C79*G79</f>
        <v>476000</v>
      </c>
      <c r="I79" s="6" t="s">
        <v>4</v>
      </c>
    </row>
    <row r="80" spans="1:9">
      <c r="A80" s="6" t="s">
        <v>85</v>
      </c>
      <c r="B80" s="6" t="s">
        <v>86</v>
      </c>
      <c r="C80" s="5">
        <v>8000</v>
      </c>
      <c r="D80" s="8">
        <v>60</v>
      </c>
      <c r="E80" s="5">
        <v>480000</v>
      </c>
      <c r="G80" s="9">
        <v>45</v>
      </c>
      <c r="H80" s="5">
        <f>C80*G80</f>
        <v>360000</v>
      </c>
      <c r="I80" s="6" t="s">
        <v>141</v>
      </c>
    </row>
    <row r="81" spans="1:9">
      <c r="A81" s="6" t="s">
        <v>90</v>
      </c>
      <c r="B81" s="6" t="s">
        <v>2</v>
      </c>
      <c r="C81" s="5">
        <v>3000</v>
      </c>
      <c r="D81" s="8">
        <v>29</v>
      </c>
      <c r="E81" s="5">
        <v>87000</v>
      </c>
      <c r="G81" s="9">
        <v>23.6</v>
      </c>
      <c r="H81" s="5">
        <f>C81*G81</f>
        <v>70800</v>
      </c>
      <c r="I81" s="6" t="s">
        <v>9</v>
      </c>
    </row>
    <row r="82" spans="1:9">
      <c r="A82" s="6" t="s">
        <v>28</v>
      </c>
      <c r="B82" s="6" t="s">
        <v>29</v>
      </c>
      <c r="C82" s="5">
        <v>4000</v>
      </c>
      <c r="D82" s="8">
        <v>6</v>
      </c>
      <c r="E82" s="5">
        <v>24000</v>
      </c>
      <c r="G82" s="9">
        <v>3.4</v>
      </c>
      <c r="H82" s="5">
        <f>C82*G82</f>
        <v>13600</v>
      </c>
      <c r="I82" s="6" t="s">
        <v>158</v>
      </c>
    </row>
    <row r="83" spans="1:9">
      <c r="A83" s="6" t="s">
        <v>98</v>
      </c>
      <c r="B83" s="6" t="s">
        <v>99</v>
      </c>
      <c r="C83" s="5">
        <v>11200</v>
      </c>
      <c r="D83" s="8">
        <v>64</v>
      </c>
      <c r="E83" s="5">
        <v>716800</v>
      </c>
      <c r="G83" s="9">
        <v>52</v>
      </c>
      <c r="H83" s="5">
        <f>C83*G83</f>
        <v>582400</v>
      </c>
      <c r="I83" s="6" t="s">
        <v>157</v>
      </c>
    </row>
    <row r="84" spans="1:9">
      <c r="A84" s="6" t="s">
        <v>20</v>
      </c>
      <c r="B84" s="6" t="s">
        <v>21</v>
      </c>
      <c r="C84" s="5">
        <v>3500</v>
      </c>
      <c r="D84" s="8">
        <v>65</v>
      </c>
      <c r="E84" s="5">
        <v>227500</v>
      </c>
      <c r="G84" s="9">
        <v>34</v>
      </c>
      <c r="H84" s="5">
        <f>C84*G84</f>
        <v>119000</v>
      </c>
      <c r="I84" s="6" t="s">
        <v>4</v>
      </c>
    </row>
    <row r="85" spans="1:9">
      <c r="A85" s="6" t="s">
        <v>55</v>
      </c>
      <c r="B85" s="6" t="s">
        <v>56</v>
      </c>
      <c r="C85" s="5">
        <v>5000</v>
      </c>
      <c r="D85" s="8">
        <v>140</v>
      </c>
      <c r="E85" s="5">
        <v>700000</v>
      </c>
      <c r="G85" s="9">
        <v>74</v>
      </c>
      <c r="H85" s="5">
        <f>C85*G85</f>
        <v>370000</v>
      </c>
      <c r="I85" s="6" t="s">
        <v>4</v>
      </c>
    </row>
    <row r="86" spans="1:9">
      <c r="A86" s="6" t="s">
        <v>87</v>
      </c>
      <c r="B86" s="6" t="s">
        <v>3</v>
      </c>
      <c r="C86" s="5">
        <v>2500</v>
      </c>
      <c r="D86" s="8">
        <v>32</v>
      </c>
      <c r="E86" s="5">
        <v>80000</v>
      </c>
      <c r="G86" s="9">
        <v>30.2</v>
      </c>
      <c r="H86" s="5">
        <f>C86*G86</f>
        <v>75500</v>
      </c>
      <c r="I86" s="6" t="s">
        <v>9</v>
      </c>
    </row>
    <row r="87" spans="1:9">
      <c r="A87" s="6" t="s">
        <v>43</v>
      </c>
      <c r="B87" s="6" t="s">
        <v>44</v>
      </c>
      <c r="C87" s="5">
        <v>1000</v>
      </c>
      <c r="D87" s="8">
        <v>90</v>
      </c>
      <c r="E87" s="5">
        <v>90000</v>
      </c>
      <c r="G87" s="9">
        <v>70</v>
      </c>
      <c r="H87" s="5">
        <f>C87*G87</f>
        <v>70000</v>
      </c>
      <c r="I87" s="6" t="s">
        <v>156</v>
      </c>
    </row>
    <row r="88" spans="1:9">
      <c r="A88" s="6" t="s">
        <v>15</v>
      </c>
      <c r="B88" s="6" t="s">
        <v>6</v>
      </c>
      <c r="C88" s="5">
        <v>24000</v>
      </c>
      <c r="D88" s="8">
        <v>37</v>
      </c>
      <c r="E88" s="5">
        <v>888000</v>
      </c>
      <c r="G88" s="9">
        <v>33</v>
      </c>
      <c r="H88" s="5">
        <f>C88*G88</f>
        <v>792000</v>
      </c>
      <c r="I88" s="6" t="s">
        <v>155</v>
      </c>
    </row>
    <row r="89" spans="1:9">
      <c r="A89" s="6" t="s">
        <v>26</v>
      </c>
      <c r="B89" s="6" t="s">
        <v>27</v>
      </c>
      <c r="C89" s="5">
        <v>3000</v>
      </c>
      <c r="D89" s="8">
        <v>28</v>
      </c>
      <c r="E89" s="5">
        <v>84000</v>
      </c>
      <c r="G89" s="9">
        <v>10</v>
      </c>
      <c r="H89" s="5">
        <f>C89*G89</f>
        <v>30000</v>
      </c>
      <c r="I89" s="6" t="s">
        <v>134</v>
      </c>
    </row>
    <row r="90" spans="1:9">
      <c r="A90" s="6" t="s">
        <v>65</v>
      </c>
      <c r="B90" s="6" t="s">
        <v>154</v>
      </c>
      <c r="C90" s="5">
        <v>1000</v>
      </c>
      <c r="D90" s="8">
        <v>320</v>
      </c>
      <c r="E90" s="5">
        <v>320000</v>
      </c>
      <c r="G90" s="9">
        <v>260</v>
      </c>
      <c r="H90" s="5">
        <f>C90*G90</f>
        <v>260000</v>
      </c>
      <c r="I90" s="6" t="s">
        <v>153</v>
      </c>
    </row>
    <row r="91" spans="1:9">
      <c r="A91" s="6" t="s">
        <v>100</v>
      </c>
      <c r="B91" s="6" t="s">
        <v>101</v>
      </c>
      <c r="C91" s="5">
        <v>21000</v>
      </c>
      <c r="D91" s="8">
        <v>40</v>
      </c>
      <c r="E91" s="5">
        <v>840000</v>
      </c>
      <c r="G91" s="9">
        <v>30</v>
      </c>
      <c r="H91" s="5">
        <f>C91*G91</f>
        <v>630000</v>
      </c>
      <c r="I91" s="6" t="s">
        <v>4</v>
      </c>
    </row>
    <row r="92" spans="1:9">
      <c r="A92" s="6" t="s">
        <v>100</v>
      </c>
      <c r="B92" s="6" t="s">
        <v>101</v>
      </c>
      <c r="C92" s="5">
        <v>21000</v>
      </c>
      <c r="D92" s="8">
        <v>40</v>
      </c>
      <c r="E92" s="5">
        <v>840000</v>
      </c>
      <c r="G92" s="9">
        <v>30</v>
      </c>
      <c r="H92" s="5">
        <f>C92*G92</f>
        <v>630000</v>
      </c>
      <c r="I92" s="6" t="s">
        <v>4</v>
      </c>
    </row>
    <row r="93" spans="1:9">
      <c r="A93" s="6" t="s">
        <v>102</v>
      </c>
      <c r="B93" s="6" t="s">
        <v>103</v>
      </c>
      <c r="C93" s="5">
        <v>2500</v>
      </c>
      <c r="D93" s="8">
        <v>115</v>
      </c>
      <c r="E93" s="5">
        <v>287500</v>
      </c>
      <c r="G93" s="9">
        <f>0.063*1.03*1500</f>
        <v>97.335000000000008</v>
      </c>
      <c r="H93" s="5">
        <f>C93*G93</f>
        <v>243337.50000000003</v>
      </c>
      <c r="I93" s="6" t="s">
        <v>4</v>
      </c>
    </row>
    <row r="94" spans="1:9">
      <c r="A94" s="6" t="s">
        <v>104</v>
      </c>
      <c r="B94" s="6" t="s">
        <v>152</v>
      </c>
      <c r="C94" s="5">
        <v>2000</v>
      </c>
      <c r="D94" s="8">
        <v>495</v>
      </c>
      <c r="E94" s="5">
        <v>990000</v>
      </c>
      <c r="G94" s="9">
        <v>445</v>
      </c>
      <c r="H94" s="5">
        <f>C94*G94</f>
        <v>890000</v>
      </c>
      <c r="I94" s="6" t="s">
        <v>151</v>
      </c>
    </row>
    <row r="95" spans="1:9">
      <c r="A95" s="6" t="s">
        <v>105</v>
      </c>
      <c r="B95" s="6" t="s">
        <v>106</v>
      </c>
      <c r="C95" s="5">
        <v>200</v>
      </c>
      <c r="D95" s="8">
        <v>5600</v>
      </c>
      <c r="E95" s="5">
        <v>1120000</v>
      </c>
      <c r="G95" s="9">
        <v>4000</v>
      </c>
      <c r="H95" s="5">
        <f>C95*G95</f>
        <v>800000</v>
      </c>
      <c r="I95" s="6" t="s">
        <v>150</v>
      </c>
    </row>
    <row r="96" spans="1:9">
      <c r="A96" s="6" t="s">
        <v>30</v>
      </c>
      <c r="B96" s="6" t="s">
        <v>31</v>
      </c>
      <c r="C96" s="5">
        <v>12000</v>
      </c>
      <c r="D96" s="8">
        <v>83</v>
      </c>
      <c r="E96" s="5">
        <v>996000</v>
      </c>
      <c r="G96" s="9">
        <v>65.5</v>
      </c>
      <c r="H96" s="5">
        <f>C96*G96</f>
        <v>786000</v>
      </c>
      <c r="I96" s="6" t="s">
        <v>149</v>
      </c>
    </row>
    <row r="97" spans="1:9">
      <c r="A97" s="6" t="s">
        <v>13</v>
      </c>
      <c r="B97" s="6" t="s">
        <v>148</v>
      </c>
      <c r="C97" s="5">
        <v>3000</v>
      </c>
      <c r="D97" s="8">
        <v>100</v>
      </c>
      <c r="E97" s="5">
        <v>300000</v>
      </c>
      <c r="G97" s="9">
        <v>87</v>
      </c>
      <c r="H97" s="5">
        <f>C97*G97</f>
        <v>261000</v>
      </c>
      <c r="I97" s="6" t="s">
        <v>9</v>
      </c>
    </row>
    <row r="98" spans="1:9">
      <c r="A98" s="6" t="s">
        <v>16</v>
      </c>
      <c r="B98" s="6" t="s">
        <v>147</v>
      </c>
      <c r="C98" s="5">
        <v>7500</v>
      </c>
      <c r="D98" s="8">
        <v>15</v>
      </c>
      <c r="E98" s="5">
        <v>112500</v>
      </c>
      <c r="G98" s="9">
        <v>8</v>
      </c>
      <c r="H98" s="5">
        <f>C98*G98</f>
        <v>60000</v>
      </c>
      <c r="I98" s="6" t="s">
        <v>146</v>
      </c>
    </row>
    <row r="99" spans="1:9">
      <c r="A99" s="6" t="s">
        <v>145</v>
      </c>
      <c r="B99" s="6" t="s">
        <v>144</v>
      </c>
      <c r="C99" s="5">
        <v>2500</v>
      </c>
      <c r="D99" s="8">
        <v>140</v>
      </c>
      <c r="E99" s="5">
        <v>350000</v>
      </c>
      <c r="G99" s="9">
        <f>0.0469*1.03*1500</f>
        <v>72.460499999999996</v>
      </c>
      <c r="H99" s="5">
        <f>C99*G99</f>
        <v>181151.25</v>
      </c>
      <c r="I99" s="6" t="s">
        <v>126</v>
      </c>
    </row>
    <row r="100" spans="1:9">
      <c r="A100" s="6" t="s">
        <v>143</v>
      </c>
      <c r="B100" s="6" t="s">
        <v>142</v>
      </c>
      <c r="C100" s="5">
        <v>2000</v>
      </c>
      <c r="D100" s="8">
        <v>60</v>
      </c>
      <c r="E100" s="5">
        <v>120000</v>
      </c>
      <c r="G100" s="9">
        <v>45</v>
      </c>
      <c r="H100" s="5">
        <f>C100*G100</f>
        <v>90000</v>
      </c>
      <c r="I100" s="6" t="s">
        <v>141</v>
      </c>
    </row>
    <row r="101" spans="1:9">
      <c r="A101" s="6" t="s">
        <v>87</v>
      </c>
      <c r="B101" s="6" t="s">
        <v>11</v>
      </c>
      <c r="C101" s="5">
        <v>7500</v>
      </c>
      <c r="D101" s="8">
        <v>32</v>
      </c>
      <c r="E101" s="5">
        <v>240000</v>
      </c>
      <c r="G101" s="9">
        <v>30.2</v>
      </c>
      <c r="H101" s="5">
        <f>C101*G101</f>
        <v>226500</v>
      </c>
      <c r="I101" s="6" t="s">
        <v>9</v>
      </c>
    </row>
    <row r="102" spans="1:9">
      <c r="A102" s="6" t="s">
        <v>140</v>
      </c>
      <c r="B102" s="6" t="s">
        <v>139</v>
      </c>
      <c r="C102" s="5">
        <v>2000</v>
      </c>
      <c r="D102" s="8">
        <v>25</v>
      </c>
      <c r="E102" s="5">
        <v>50000</v>
      </c>
      <c r="G102" s="9">
        <v>20.8</v>
      </c>
      <c r="H102" s="5">
        <f>C102*G102</f>
        <v>41600</v>
      </c>
      <c r="I102" s="6" t="s">
        <v>9</v>
      </c>
    </row>
    <row r="103" spans="1:9">
      <c r="A103" s="6" t="s">
        <v>45</v>
      </c>
      <c r="B103" s="6" t="s">
        <v>138</v>
      </c>
      <c r="C103" s="5">
        <v>5000</v>
      </c>
      <c r="D103" s="8">
        <v>270</v>
      </c>
      <c r="E103" s="5">
        <v>1350000</v>
      </c>
      <c r="G103" s="9">
        <v>183</v>
      </c>
      <c r="H103" s="5">
        <f>C103*G103</f>
        <v>915000</v>
      </c>
      <c r="I103" s="6" t="s">
        <v>137</v>
      </c>
    </row>
    <row r="104" spans="1:9">
      <c r="A104" s="6" t="s">
        <v>136</v>
      </c>
      <c r="B104" s="6" t="s">
        <v>135</v>
      </c>
      <c r="C104" s="5">
        <v>3000</v>
      </c>
      <c r="D104" s="8">
        <v>24</v>
      </c>
      <c r="E104" s="5">
        <v>72000</v>
      </c>
      <c r="G104" s="9">
        <v>10</v>
      </c>
      <c r="H104" s="5">
        <f>C104*G104</f>
        <v>30000</v>
      </c>
      <c r="I104" s="6" t="s">
        <v>134</v>
      </c>
    </row>
    <row r="105" spans="1:9">
      <c r="A105" s="6" t="s">
        <v>15</v>
      </c>
      <c r="B105" s="6" t="s">
        <v>10</v>
      </c>
      <c r="C105" s="5">
        <v>4000</v>
      </c>
      <c r="D105" s="8">
        <v>37</v>
      </c>
      <c r="E105" s="5">
        <v>148000</v>
      </c>
      <c r="G105" s="9">
        <v>33</v>
      </c>
      <c r="H105" s="5">
        <f>C105*G105</f>
        <v>132000</v>
      </c>
      <c r="I105" s="6" t="s">
        <v>7</v>
      </c>
    </row>
    <row r="106" spans="1:9">
      <c r="A106" s="6" t="s">
        <v>133</v>
      </c>
      <c r="B106" s="6" t="s">
        <v>132</v>
      </c>
      <c r="C106" s="5">
        <v>10000</v>
      </c>
      <c r="D106" s="8">
        <v>19</v>
      </c>
      <c r="E106" s="5">
        <v>190000</v>
      </c>
      <c r="G106" s="9">
        <v>9</v>
      </c>
      <c r="H106" s="5">
        <f>C106*G106</f>
        <v>90000</v>
      </c>
      <c r="I106" s="6" t="s">
        <v>131</v>
      </c>
    </row>
    <row r="107" spans="1:9">
      <c r="A107" s="6" t="s">
        <v>53</v>
      </c>
      <c r="B107" s="6" t="s">
        <v>130</v>
      </c>
      <c r="C107" s="5">
        <v>4000</v>
      </c>
      <c r="D107" s="8">
        <v>18</v>
      </c>
      <c r="E107" s="5">
        <v>72000</v>
      </c>
      <c r="G107" s="9">
        <v>15</v>
      </c>
      <c r="H107" s="5">
        <f>C107*G107</f>
        <v>60000</v>
      </c>
      <c r="I107" s="6" t="s">
        <v>129</v>
      </c>
    </row>
    <row r="108" spans="1:9">
      <c r="A108" s="6" t="s">
        <v>20</v>
      </c>
      <c r="B108" s="6" t="s">
        <v>128</v>
      </c>
      <c r="C108" s="5">
        <v>7000</v>
      </c>
      <c r="D108" s="8">
        <v>65</v>
      </c>
      <c r="E108" s="5">
        <v>455000</v>
      </c>
      <c r="G108" s="9">
        <f>0.023*1.03*1500</f>
        <v>35.534999999999997</v>
      </c>
      <c r="H108" s="5">
        <f>C108*G108</f>
        <v>248744.99999999997</v>
      </c>
      <c r="I108" s="6" t="s">
        <v>126</v>
      </c>
    </row>
    <row r="109" spans="1:9">
      <c r="A109" s="6" t="s">
        <v>122</v>
      </c>
      <c r="B109" s="6" t="s">
        <v>127</v>
      </c>
      <c r="C109" s="5">
        <v>10000</v>
      </c>
      <c r="D109" s="8">
        <v>265</v>
      </c>
      <c r="E109" s="5">
        <v>2650000</v>
      </c>
      <c r="G109" s="9">
        <f>0.1219*1.03*1500</f>
        <v>188.3355</v>
      </c>
      <c r="H109" s="5">
        <f>C109*G109</f>
        <v>1883355</v>
      </c>
      <c r="I109" s="6" t="s">
        <v>126</v>
      </c>
    </row>
    <row r="110" spans="1:9">
      <c r="A110" s="6" t="s">
        <v>125</v>
      </c>
      <c r="B110" s="6" t="s">
        <v>124</v>
      </c>
      <c r="C110" s="5">
        <v>200</v>
      </c>
      <c r="D110" s="8">
        <v>11200</v>
      </c>
      <c r="E110" s="5">
        <v>2240000</v>
      </c>
      <c r="G110" s="7">
        <v>8900</v>
      </c>
      <c r="H110" s="5">
        <f>C110*G110</f>
        <v>1780000</v>
      </c>
      <c r="I110" s="6" t="s">
        <v>123</v>
      </c>
    </row>
    <row r="111" spans="1:9">
      <c r="E111" s="5">
        <f>SUM(E2:E110)</f>
        <v>81648200</v>
      </c>
      <c r="H111" s="5">
        <f>SUM(H2:H110)</f>
        <v>58566046.75</v>
      </c>
    </row>
  </sheetData>
  <autoFilter ref="A1:I111" xr:uid="{00000000-0009-0000-0000-000000000000}"/>
  <phoneticPr fontId="2" type="noConversion"/>
  <pageMargins left="0.7" right="0.7" top="0.75" bottom="0.75" header="0.3" footer="0.3"/>
  <pageSetup paperSize="9" orientation="portrait" horizontalDpi="4294967293" verticalDpi="0" copies="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내수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훈재 이</dc:creator>
  <cp:lastModifiedBy>배병욱</cp:lastModifiedBy>
  <dcterms:created xsi:type="dcterms:W3CDTF">2026-03-03T07:32:32Z</dcterms:created>
  <dcterms:modified xsi:type="dcterms:W3CDTF">2026-03-23T15:53:52Z</dcterms:modified>
</cp:coreProperties>
</file>